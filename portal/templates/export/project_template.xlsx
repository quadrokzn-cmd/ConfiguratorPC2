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adr\Desktop\"/>
    </mc:Choice>
  </mc:AlternateContent>
  <bookViews>
    <workbookView xWindow="0" yWindow="0" windowWidth="28800" windowHeight="13980"/>
  </bookViews>
  <sheets>
    <sheet name="Лист1" sheetId="1" r:id="rId1"/>
    <sheet name="Лист2" sheetId="2" r:id="rId2"/>
    <sheet name="Лист3" sheetId="3" r:id="rId3"/>
  </sheets>
  <definedNames>
    <definedName name="курс">Лист1!$O$2</definedName>
  </definedNames>
  <calcPr calcId="162913"/>
</workbook>
</file>

<file path=xl/calcChain.xml><?xml version="1.0" encoding="utf-8"?>
<calcChain xmlns="http://schemas.openxmlformats.org/spreadsheetml/2006/main">
  <c r="I9" i="1" l="1"/>
  <c r="H6" i="1" l="1"/>
  <c r="G5" i="1"/>
  <c r="H5" i="1"/>
  <c r="J5" i="1"/>
  <c r="K5" i="1"/>
  <c r="L5" i="1" s="1"/>
  <c r="O5" i="1"/>
  <c r="G6" i="1"/>
  <c r="K6" i="1"/>
  <c r="L6" i="1" s="1"/>
  <c r="O6" i="1"/>
  <c r="O4" i="1"/>
  <c r="K4" i="1"/>
  <c r="L4" i="1" s="1"/>
  <c r="J4" i="1"/>
  <c r="H4" i="1"/>
  <c r="G4" i="1"/>
  <c r="G8" i="1" l="1"/>
  <c r="J6" i="1"/>
  <c r="J8" i="1" l="1"/>
  <c r="J12" i="1" s="1"/>
  <c r="J11" i="1" l="1"/>
</calcChain>
</file>

<file path=xl/sharedStrings.xml><?xml version="1.0" encoding="utf-8"?>
<sst xmlns="http://schemas.openxmlformats.org/spreadsheetml/2006/main" count="18" uniqueCount="18">
  <si>
    <t>Курс ЦБ</t>
  </si>
  <si>
    <t>##</t>
  </si>
  <si>
    <t>бар код</t>
  </si>
  <si>
    <t>Цена, руб. с НДС</t>
  </si>
  <si>
    <t>Стоимость, руб. с НДС</t>
  </si>
  <si>
    <t>Цена закупочн. руб, 1 шт.</t>
  </si>
  <si>
    <t>Общая стоимость, руб</t>
  </si>
  <si>
    <t>Цена закупочн. $, +конв</t>
  </si>
  <si>
    <t>Конвертация</t>
  </si>
  <si>
    <t>Цена закупочн. $, 1 шт.</t>
  </si>
  <si>
    <t>Общая стоимость, $</t>
  </si>
  <si>
    <t>%</t>
  </si>
  <si>
    <t>абс.</t>
  </si>
  <si>
    <t>Артикул</t>
  </si>
  <si>
    <t>Наименование</t>
  </si>
  <si>
    <t>Кол-во</t>
  </si>
  <si>
    <t>Маржинальность</t>
  </si>
  <si>
    <t>Дата курса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</si>
</sst>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&quot;р.&quot;"/>
    <numFmt numFmtId="165" formatCode="[$$-409]#,##0.00"/>
    <numFmt numFmtId="166" formatCode="0.0%"/>
    <numFmt numFmtId="167" formatCode="_-[$$-409]* #,##0.00_ ;_-[$$-409]* \-#,##0.00\ ;_-[$$-409]* &quot;-&quot;??_ ;_-@_ "/>
    <numFmt numFmtId="168" formatCode="_-* #,##0.00&quot;р.&quot;_-;\-* #,##0.00&quot;р.&quot;_-;_-* &quot;-&quot;??&quot;р.&quot;_-;_-@_-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name val="Times New Roman"/>
      <family val="1"/>
      <charset val="204"/>
    </font>
    <font>
      <b/>
      <sz val="8"/>
      <color indexed="17"/>
      <name val="Times New Roman"/>
      <family val="1"/>
      <charset val="204"/>
    </font>
    <font>
      <sz val="9"/>
      <color rgb="FF333333"/>
      <name val="Arial"/>
      <family val="2"/>
      <charset val="204"/>
    </font>
    <font>
      <sz val="8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indexed="17"/>
      <name val="Times New Roman"/>
      <family val="1"/>
      <charset val="204"/>
    </font>
    <font>
      <sz val="8"/>
      <name val="Tahoma"/>
      <family val="2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8">
    <xf numFmtId="0" fontId="0" fillId="0" borderId="0" xfId="0"/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2" fontId="3" fillId="0" borderId="0" xfId="0" applyNumberFormat="1" applyFont="1"/>
    <xf numFmtId="0" fontId="5" fillId="3" borderId="1" xfId="0" applyFont="1" applyFill="1" applyBorder="1" applyAlignment="1">
      <alignment horizontal="center" vertical="top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8" fillId="5" borderId="2" xfId="0" applyFont="1" applyFill="1" applyBorder="1" applyAlignment="1">
      <alignment horizontal="center" vertical="top" wrapText="1"/>
    </xf>
    <xf numFmtId="3" fontId="9" fillId="5" borderId="2" xfId="0" applyNumberFormat="1" applyFont="1" applyFill="1" applyBorder="1" applyAlignment="1">
      <alignment horizontal="center" vertical="top" wrapText="1"/>
    </xf>
    <xf numFmtId="0" fontId="8" fillId="2" borderId="2" xfId="1" applyNumberFormat="1" applyFont="1" applyFill="1" applyBorder="1" applyAlignment="1">
      <alignment horizontal="center" vertical="top" wrapText="1"/>
    </xf>
    <xf numFmtId="166" fontId="8" fillId="2" borderId="2" xfId="2" applyNumberFormat="1" applyFont="1" applyFill="1" applyBorder="1" applyAlignment="1">
      <alignment horizontal="center" vertical="top" wrapText="1"/>
    </xf>
    <xf numFmtId="4" fontId="10" fillId="2" borderId="2" xfId="0" applyNumberFormat="1" applyFont="1" applyFill="1" applyBorder="1" applyAlignment="1">
      <alignment horizontal="center" vertical="top" wrapText="1"/>
    </xf>
    <xf numFmtId="44" fontId="8" fillId="0" borderId="2" xfId="1" applyFont="1" applyFill="1" applyBorder="1" applyAlignment="1">
      <alignment horizontal="center" vertical="top" wrapText="1"/>
    </xf>
    <xf numFmtId="165" fontId="11" fillId="0" borderId="2" xfId="0" applyNumberFormat="1" applyFont="1" applyFill="1" applyBorder="1" applyAlignment="1">
      <alignment vertical="top"/>
    </xf>
    <xf numFmtId="166" fontId="3" fillId="0" borderId="2" xfId="2" applyNumberFormat="1" applyFont="1" applyFill="1" applyBorder="1" applyAlignment="1">
      <alignment vertical="top"/>
    </xf>
    <xf numFmtId="167" fontId="12" fillId="5" borderId="2" xfId="1" applyNumberFormat="1" applyFont="1" applyFill="1" applyBorder="1" applyAlignment="1">
      <alignment vertical="top"/>
    </xf>
    <xf numFmtId="165" fontId="11" fillId="0" borderId="2" xfId="0" applyNumberFormat="1" applyFont="1" applyBorder="1" applyAlignment="1">
      <alignment vertical="top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/>
    <xf numFmtId="0" fontId="8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right" vertical="top"/>
    </xf>
    <xf numFmtId="0" fontId="3" fillId="5" borderId="2" xfId="0" applyFont="1" applyFill="1" applyBorder="1"/>
    <xf numFmtId="168" fontId="5" fillId="0" borderId="2" xfId="0" applyNumberFormat="1" applyFont="1" applyBorder="1"/>
    <xf numFmtId="167" fontId="11" fillId="5" borderId="2" xfId="1" applyNumberFormat="1" applyFont="1" applyFill="1" applyBorder="1"/>
    <xf numFmtId="167" fontId="6" fillId="0" borderId="2" xfId="0" applyNumberFormat="1" applyFont="1" applyBorder="1"/>
    <xf numFmtId="0" fontId="0" fillId="0" borderId="0" xfId="0" applyFill="1"/>
    <xf numFmtId="44" fontId="5" fillId="0" borderId="3" xfId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/>
    </xf>
    <xf numFmtId="0" fontId="13" fillId="0" borderId="0" xfId="3"/>
    <xf numFmtId="43" fontId="0" fillId="0" borderId="0" xfId="0" applyNumberFormat="1"/>
    <xf numFmtId="10" fontId="0" fillId="0" borderId="0" xfId="0" applyNumberFormat="1" applyAlignment="1">
      <alignment vertical="top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top" wrapText="1"/>
    </xf>
  </cellXfs>
  <cellStyles count="4">
    <cellStyle name="Гиперссылка" xfId="3" builtinId="8"/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D14" sqref="D14"/>
    </sheetView>
  </sheetViews>
  <sheetFormatPr defaultRowHeight="15" x14ac:dyDescent="0.25"/>
  <cols>
    <col min="1" max="1" width="5.140625" customWidth="1"/>
    <col min="2" max="2" width="9.85546875" customWidth="1"/>
    <col min="3" max="3" width="12.28515625" style="30" customWidth="1"/>
    <col min="4" max="4" width="64.28515625" customWidth="1"/>
    <col min="5" max="5" width="9.28515625" bestFit="1" customWidth="1"/>
    <col min="6" max="6" width="9.5703125" bestFit="1" customWidth="1"/>
    <col min="7" max="7" width="14.5703125" bestFit="1" customWidth="1"/>
    <col min="8" max="8" width="14.7109375" customWidth="1"/>
    <col min="9" max="9" width="17.7109375" customWidth="1"/>
    <col min="10" max="10" width="16.5703125" customWidth="1"/>
    <col min="11" max="11" width="12.140625" bestFit="1" customWidth="1"/>
    <col min="12" max="14" width="9.28515625" bestFit="1" customWidth="1"/>
    <col min="15" max="15" width="12.140625" customWidth="1"/>
  </cols>
  <sheetData>
    <row r="1" spans="1:16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4" t="s">
        <v>17</v>
      </c>
      <c r="O1" s="2"/>
      <c r="P1" s="5"/>
    </row>
    <row r="2" spans="1:16" x14ac:dyDescent="0.25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4"/>
      <c r="N2" s="4" t="s">
        <v>0</v>
      </c>
      <c r="O2" s="6">
        <v>80</v>
      </c>
      <c r="P2" s="5"/>
    </row>
    <row r="3" spans="1:16" ht="31.5" x14ac:dyDescent="0.25">
      <c r="A3" s="7" t="s">
        <v>1</v>
      </c>
      <c r="B3" s="7" t="s">
        <v>2</v>
      </c>
      <c r="C3" s="7" t="s">
        <v>13</v>
      </c>
      <c r="D3" s="7" t="s">
        <v>14</v>
      </c>
      <c r="E3" s="7" t="s">
        <v>15</v>
      </c>
      <c r="F3" s="8" t="s">
        <v>3</v>
      </c>
      <c r="G3" s="8" t="s">
        <v>4</v>
      </c>
      <c r="H3" s="9" t="s">
        <v>16</v>
      </c>
      <c r="I3" s="10" t="s">
        <v>5</v>
      </c>
      <c r="J3" s="10" t="s">
        <v>6</v>
      </c>
      <c r="K3" s="10" t="s">
        <v>7</v>
      </c>
      <c r="L3" s="10"/>
      <c r="M3" s="10" t="s">
        <v>8</v>
      </c>
      <c r="N3" s="10" t="s">
        <v>9</v>
      </c>
      <c r="O3" s="10" t="s">
        <v>10</v>
      </c>
    </row>
    <row r="4" spans="1:16" x14ac:dyDescent="0.25">
      <c r="A4" s="11">
        <v>1</v>
      </c>
      <c r="B4" s="36"/>
      <c r="C4" s="36"/>
      <c r="D4" s="37"/>
      <c r="E4" s="12">
        <v>1</v>
      </c>
      <c r="F4" s="13">
        <v>1000</v>
      </c>
      <c r="G4" s="14">
        <f>F4*E4</f>
        <v>1000</v>
      </c>
      <c r="H4" s="15" t="e">
        <f>F4/I4-1</f>
        <v>#DIV/0!</v>
      </c>
      <c r="I4" s="16"/>
      <c r="J4" s="17">
        <f t="shared" ref="J4" si="0">E4*I4</f>
        <v>0</v>
      </c>
      <c r="K4" s="18">
        <f>N4*(1+M4)</f>
        <v>0</v>
      </c>
      <c r="L4" s="18">
        <f t="shared" ref="L4" si="1">K4*E4</f>
        <v>0</v>
      </c>
      <c r="M4" s="19">
        <v>0</v>
      </c>
      <c r="N4" s="20">
        <v>0</v>
      </c>
      <c r="O4" s="21">
        <f>N4*E4</f>
        <v>0</v>
      </c>
    </row>
    <row r="5" spans="1:16" x14ac:dyDescent="0.25">
      <c r="A5" s="11">
        <v>2</v>
      </c>
      <c r="B5" s="36"/>
      <c r="C5" s="36"/>
      <c r="D5" s="37"/>
      <c r="E5" s="12">
        <v>1</v>
      </c>
      <c r="F5" s="13">
        <v>1000</v>
      </c>
      <c r="G5" s="14">
        <f t="shared" ref="G5:G6" si="2">F5*E5</f>
        <v>1000</v>
      </c>
      <c r="H5" s="15" t="e">
        <f t="shared" ref="H5:H6" si="3">F5/I5-1</f>
        <v>#DIV/0!</v>
      </c>
      <c r="I5" s="16"/>
      <c r="J5" s="17">
        <f t="shared" ref="J5:J6" si="4">E5*I5</f>
        <v>0</v>
      </c>
      <c r="K5" s="18">
        <f t="shared" ref="K5:K6" si="5">N5*(1+M5)</f>
        <v>0</v>
      </c>
      <c r="L5" s="18">
        <f t="shared" ref="L5:L6" si="6">K5*E5</f>
        <v>0</v>
      </c>
      <c r="M5" s="19">
        <v>0</v>
      </c>
      <c r="N5" s="20">
        <v>0</v>
      </c>
      <c r="O5" s="21">
        <f t="shared" ref="O5:O6" si="7">N5*E5</f>
        <v>0</v>
      </c>
    </row>
    <row r="6" spans="1:16" x14ac:dyDescent="0.25">
      <c r="A6" s="11">
        <v>3</v>
      </c>
      <c r="B6" s="36"/>
      <c r="C6" s="36"/>
      <c r="D6" s="37"/>
      <c r="E6" s="12">
        <v>1</v>
      </c>
      <c r="F6" s="13">
        <v>1000</v>
      </c>
      <c r="G6" s="14">
        <f t="shared" si="2"/>
        <v>1000</v>
      </c>
      <c r="H6" s="15" t="e">
        <f t="shared" si="3"/>
        <v>#DIV/0!</v>
      </c>
      <c r="I6" s="16"/>
      <c r="J6" s="17">
        <f t="shared" si="4"/>
        <v>0</v>
      </c>
      <c r="K6" s="18">
        <f t="shared" si="5"/>
        <v>0</v>
      </c>
      <c r="L6" s="18">
        <f t="shared" si="6"/>
        <v>0</v>
      </c>
      <c r="M6" s="19">
        <v>0</v>
      </c>
      <c r="N6" s="20">
        <v>0</v>
      </c>
      <c r="O6" s="21">
        <f t="shared" si="7"/>
        <v>0</v>
      </c>
    </row>
    <row r="7" spans="1:16" x14ac:dyDescent="0.25">
      <c r="A7" s="11"/>
      <c r="B7" s="36"/>
      <c r="C7" s="36"/>
      <c r="D7" s="37"/>
      <c r="E7" s="12"/>
      <c r="F7" s="13"/>
      <c r="G7" s="14"/>
      <c r="H7" s="15"/>
      <c r="I7" s="16"/>
      <c r="J7" s="17"/>
      <c r="K7" s="18"/>
      <c r="L7" s="18"/>
      <c r="M7" s="19"/>
      <c r="N7" s="20"/>
      <c r="O7" s="21"/>
    </row>
    <row r="8" spans="1:16" x14ac:dyDescent="0.25">
      <c r="A8" s="22"/>
      <c r="B8" s="23"/>
      <c r="C8" s="24"/>
      <c r="D8" s="25"/>
      <c r="E8" s="26"/>
      <c r="F8" s="26"/>
      <c r="G8" s="27">
        <f>SUM(G4:G6)</f>
        <v>3000</v>
      </c>
      <c r="H8" s="27"/>
      <c r="I8" s="27"/>
      <c r="J8" s="27">
        <f>SUM(J4:J6)</f>
        <v>0</v>
      </c>
      <c r="K8" s="27"/>
      <c r="L8" s="27"/>
      <c r="M8" s="27"/>
      <c r="N8" s="28"/>
      <c r="O8" s="29"/>
    </row>
    <row r="9" spans="1:16" x14ac:dyDescent="0.25">
      <c r="I9" s="31">
        <f>H9*D9</f>
        <v>0</v>
      </c>
    </row>
    <row r="11" spans="1:16" x14ac:dyDescent="0.25">
      <c r="B11" s="32"/>
      <c r="D11" s="33"/>
      <c r="G11" s="34"/>
      <c r="I11" t="s">
        <v>11</v>
      </c>
      <c r="J11" s="35" t="e">
        <f>G8/J8-1</f>
        <v>#DIV/0!</v>
      </c>
    </row>
    <row r="12" spans="1:16" x14ac:dyDescent="0.25">
      <c r="B12" s="32"/>
      <c r="I12" t="s">
        <v>12</v>
      </c>
      <c r="J12" s="34">
        <f>G8-J8</f>
        <v>3000</v>
      </c>
    </row>
    <row r="17" spans="3:10" x14ac:dyDescent="0.25">
      <c r="C17"/>
      <c r="J17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курс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quadr</cp:lastModifiedBy>
  <dcterms:created xsi:type="dcterms:W3CDTF">2026-04-22T06:49:57Z</dcterms:created>
  <dcterms:modified xsi:type="dcterms:W3CDTF">2026-04-24T19:24:04Z</dcterms:modified>
</cp:coreProperties>
</file>